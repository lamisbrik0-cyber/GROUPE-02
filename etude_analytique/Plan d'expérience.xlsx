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fa1a02de3c6997/Bureau/projet groupe 2/"/>
    </mc:Choice>
  </mc:AlternateContent>
  <xr:revisionPtr revIDLastSave="43" documentId="8_{5ADFF96E-87DD-42ED-ADD6-024D065C9B36}" xr6:coauthVersionLast="47" xr6:coauthVersionMax="47" xr10:uidLastSave="{3513C8D3-A37B-456C-90FA-CA7A6169AD83}"/>
  <bookViews>
    <workbookView xWindow="-110" yWindow="-110" windowWidth="19420" windowHeight="10300" xr2:uid="{88611569-B1A2-4FEB-B49F-A91D34977BE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7" i="1" l="1" a="1"/>
  <c r="AB57" i="1" s="1"/>
  <c r="AJ46" i="1" a="1"/>
  <c r="AJ46" i="1" s="1"/>
  <c r="Z47" i="1" a="1"/>
  <c r="Z47" i="1" s="1"/>
  <c r="AD23" i="1"/>
  <c r="AD24" i="1"/>
  <c r="AD25" i="1"/>
  <c r="AD26" i="1"/>
  <c r="AD27" i="1"/>
  <c r="AD28" i="1"/>
  <c r="AD29" i="1"/>
  <c r="AD30" i="1"/>
  <c r="AD22" i="1"/>
  <c r="AC23" i="1"/>
  <c r="AC24" i="1"/>
  <c r="AC25" i="1"/>
  <c r="AC26" i="1"/>
  <c r="AC27" i="1"/>
  <c r="AC28" i="1"/>
  <c r="AC29" i="1"/>
  <c r="AC30" i="1"/>
  <c r="AC22" i="1"/>
  <c r="H51" i="1" a="1"/>
  <c r="H51" i="1" s="1"/>
  <c r="I41" i="1" a="1"/>
  <c r="I41" i="1" s="1"/>
  <c r="E41" i="1" a="1"/>
  <c r="E41" i="1" s="1"/>
  <c r="E33" i="1" a="1"/>
  <c r="E33" i="1" s="1"/>
  <c r="AB30" i="1"/>
  <c r="H22" i="1"/>
  <c r="AE30" i="1"/>
  <c r="AE29" i="1"/>
  <c r="AE28" i="1"/>
  <c r="AE27" i="1"/>
  <c r="AE26" i="1"/>
  <c r="AE25" i="1"/>
  <c r="AE24" i="1"/>
  <c r="AE23" i="1"/>
  <c r="AE22" i="1"/>
  <c r="I30" i="1"/>
  <c r="I29" i="1"/>
  <c r="I28" i="1"/>
  <c r="I27" i="1"/>
  <c r="I26" i="1"/>
  <c r="I25" i="1"/>
  <c r="I24" i="1"/>
  <c r="I23" i="1"/>
  <c r="I22" i="1"/>
  <c r="AB23" i="1"/>
  <c r="AB24" i="1"/>
  <c r="AB25" i="1"/>
  <c r="AB26" i="1"/>
  <c r="AB27" i="1"/>
  <c r="AB28" i="1"/>
  <c r="AB29" i="1"/>
  <c r="AB22" i="1"/>
  <c r="F30" i="1"/>
  <c r="G30" i="1"/>
  <c r="H30" i="1"/>
  <c r="F29" i="1"/>
  <c r="G29" i="1"/>
  <c r="H29" i="1"/>
  <c r="F28" i="1"/>
  <c r="G28" i="1"/>
  <c r="H28" i="1"/>
  <c r="H27" i="1"/>
  <c r="F26" i="1"/>
  <c r="F27" i="1"/>
  <c r="F25" i="1"/>
  <c r="G23" i="1"/>
  <c r="G24" i="1"/>
  <c r="G25" i="1"/>
  <c r="G26" i="1"/>
  <c r="G27" i="1"/>
  <c r="G22" i="1"/>
  <c r="H23" i="1"/>
  <c r="H24" i="1"/>
  <c r="H25" i="1"/>
  <c r="H26" i="1"/>
  <c r="F22" i="1"/>
  <c r="F23" i="1"/>
  <c r="F24" i="1"/>
  <c r="Z37" i="1" l="1" a="1"/>
  <c r="Z3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<sst xmlns="http://schemas.openxmlformats.org/spreadsheetml/2006/main" count="107" uniqueCount="48">
  <si>
    <t xml:space="preserve">9 essais </t>
  </si>
  <si>
    <t>Nombre d'essais</t>
  </si>
  <si>
    <t xml:space="preserve"> Plans d’expériences</t>
  </si>
  <si>
    <t xml:space="preserve">Modèle à 2 facteurs </t>
  </si>
  <si>
    <t>X1</t>
  </si>
  <si>
    <t>X2</t>
  </si>
  <si>
    <t xml:space="preserve">min </t>
  </si>
  <si>
    <t xml:space="preserve">max </t>
  </si>
  <si>
    <t xml:space="preserve">Valeurs réeles </t>
  </si>
  <si>
    <t xml:space="preserve">Valeurs centrées réduites </t>
  </si>
  <si>
    <t>Y1</t>
  </si>
  <si>
    <t>Y2</t>
  </si>
  <si>
    <t>Y3</t>
  </si>
  <si>
    <t>Y4</t>
  </si>
  <si>
    <t>Y5</t>
  </si>
  <si>
    <t>Y6</t>
  </si>
  <si>
    <t>a0</t>
  </si>
  <si>
    <t>a1</t>
  </si>
  <si>
    <t>a2</t>
  </si>
  <si>
    <t>a11</t>
  </si>
  <si>
    <t>a12</t>
  </si>
  <si>
    <t>a22</t>
  </si>
  <si>
    <t>X1X2</t>
  </si>
  <si>
    <t>X1²</t>
  </si>
  <si>
    <t>X2²</t>
  </si>
  <si>
    <t xml:space="preserve">Y </t>
  </si>
  <si>
    <t xml:space="preserve">Vo </t>
  </si>
  <si>
    <t xml:space="preserve">Transposée </t>
  </si>
  <si>
    <t xml:space="preserve">essai 1 </t>
  </si>
  <si>
    <t>essai 2</t>
  </si>
  <si>
    <t>essai 3</t>
  </si>
  <si>
    <t>essai 4</t>
  </si>
  <si>
    <t>essai 5</t>
  </si>
  <si>
    <t>essai 6</t>
  </si>
  <si>
    <t>CT</t>
  </si>
  <si>
    <t>CT.Y</t>
  </si>
  <si>
    <t>(CT.C)^-1</t>
  </si>
  <si>
    <t>a=(CT.C)^-1 . CT.Y</t>
  </si>
  <si>
    <t>essai 7</t>
  </si>
  <si>
    <t>essai 8</t>
  </si>
  <si>
    <t>essai 9</t>
  </si>
  <si>
    <t>Y7</t>
  </si>
  <si>
    <t>Y8</t>
  </si>
  <si>
    <t>Y9</t>
  </si>
  <si>
    <t xml:space="preserve">α </t>
  </si>
  <si>
    <t xml:space="preserve">50° </t>
  </si>
  <si>
    <t>10°</t>
  </si>
  <si>
    <t>essai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</si>
</sst>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191919"/>
      <name val="Roboto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4" xfId="0" applyFont="1" applyBorder="1" applyAlignment="1">
      <alignment vertical="center" wrapText="1"/>
    </xf>
    <xf numFmtId="0" fontId="0" fillId="0" borderId="4" xfId="0" applyBorder="1" applyAlignment="1"/>
    <xf numFmtId="0" fontId="0" fillId="0" borderId="5" xfId="0" applyBorder="1"/>
    <xf numFmtId="0" fontId="3" fillId="0" borderId="1" xfId="0" applyFont="1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 applyBorder="1" applyAlignment="1">
      <alignment vertical="center" wrapText="1" readingOrder="1"/>
    </xf>
    <xf numFmtId="0" fontId="6" fillId="0" borderId="0" xfId="0" applyFont="1" applyBorder="1" applyAlignment="1">
      <alignment vertical="center" wrapText="1" readingOrder="1"/>
    </xf>
    <xf numFmtId="0" fontId="0" fillId="7" borderId="0" xfId="0" applyFill="1"/>
    <xf numFmtId="0" fontId="0" fillId="0" borderId="6" xfId="0" applyBorder="1"/>
    <xf numFmtId="0" fontId="5" fillId="0" borderId="0" xfId="0" applyFont="1" applyFill="1" applyBorder="1" applyAlignment="1">
      <alignment vertical="center" wrapText="1" readingOrder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/>
    <xf numFmtId="0" fontId="7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FA25-C4D7-41EB-BA7F-F1D7A846939D}">
  <dimension ref="A1:AR65"/>
  <sheetViews>
    <sheetView tabSelected="1" topLeftCell="G27" zoomScale="54" zoomScaleNormal="86" workbookViewId="0">
      <selection activeCell="W39" sqref="W39"/>
    </sheetView>
  </sheetViews>
  <sheetFormatPr baseColWidth="10" defaultRowHeight="14.5" x14ac:dyDescent="0.35"/>
  <cols>
    <col min="4" max="4" width="14.54296875" customWidth="1"/>
    <col min="5" max="5" width="15.26953125" bestFit="1" customWidth="1"/>
    <col min="8" max="8" width="11" bestFit="1" customWidth="1"/>
    <col min="17" max="17" width="11" bestFit="1" customWidth="1"/>
    <col min="18" max="18" width="12.1796875" bestFit="1" customWidth="1"/>
    <col min="19" max="20" width="12.7265625" bestFit="1" customWidth="1"/>
    <col min="21" max="22" width="11" bestFit="1" customWidth="1"/>
    <col min="26" max="26" width="11" bestFit="1" customWidth="1"/>
  </cols>
  <sheetData>
    <row r="1" spans="1:44" ht="14.5" customHeight="1" x14ac:dyDescent="0.35">
      <c r="A1" s="26" t="s">
        <v>2</v>
      </c>
      <c r="B1" s="26"/>
      <c r="C1" s="26"/>
      <c r="D1" s="26"/>
      <c r="E1" s="26"/>
      <c r="H1" s="29" t="s">
        <v>3</v>
      </c>
      <c r="I1" s="29"/>
    </row>
    <row r="2" spans="1:44" ht="14.5" customHeight="1" x14ac:dyDescent="0.35">
      <c r="A2" s="26"/>
      <c r="B2" s="26"/>
      <c r="C2" s="26"/>
      <c r="D2" s="26"/>
      <c r="E2" s="26"/>
      <c r="H2" t="s">
        <v>0</v>
      </c>
    </row>
    <row r="3" spans="1:44" ht="18.5" x14ac:dyDescent="0.35">
      <c r="A3" s="26"/>
      <c r="B3" s="26"/>
      <c r="C3" s="26"/>
      <c r="D3" s="26"/>
      <c r="E3" s="26"/>
      <c r="F3" s="5"/>
    </row>
    <row r="5" spans="1:44" x14ac:dyDescent="0.35">
      <c r="D5" s="6"/>
      <c r="E5" s="6" t="s">
        <v>4</v>
      </c>
      <c r="F5" s="6" t="s">
        <v>5</v>
      </c>
    </row>
    <row r="6" spans="1:44" x14ac:dyDescent="0.35">
      <c r="D6" s="6" t="s">
        <v>6</v>
      </c>
      <c r="E6" s="6">
        <v>8</v>
      </c>
      <c r="F6" s="6" t="s">
        <v>46</v>
      </c>
      <c r="W6" s="21"/>
      <c r="Z6" s="6"/>
      <c r="AA6" s="6" t="s">
        <v>4</v>
      </c>
      <c r="AB6" s="6" t="s">
        <v>5</v>
      </c>
    </row>
    <row r="7" spans="1:44" x14ac:dyDescent="0.35">
      <c r="D7" s="6" t="s">
        <v>7</v>
      </c>
      <c r="E7" s="6">
        <v>10</v>
      </c>
      <c r="F7" s="6" t="s">
        <v>45</v>
      </c>
      <c r="W7" s="21"/>
      <c r="Z7" s="6" t="s">
        <v>6</v>
      </c>
      <c r="AA7" s="6">
        <v>-1</v>
      </c>
      <c r="AB7" s="6">
        <v>-1</v>
      </c>
    </row>
    <row r="8" spans="1:44" x14ac:dyDescent="0.35">
      <c r="D8" s="31" t="s">
        <v>8</v>
      </c>
      <c r="E8" s="32"/>
      <c r="F8" s="33"/>
      <c r="W8" s="21"/>
      <c r="Z8" s="6" t="s">
        <v>7</v>
      </c>
      <c r="AA8" s="6">
        <v>1</v>
      </c>
      <c r="AB8" s="6">
        <v>1</v>
      </c>
    </row>
    <row r="9" spans="1:44" ht="18.5" x14ac:dyDescent="0.35">
      <c r="D9" s="1"/>
      <c r="E9" s="1"/>
      <c r="F9" s="1"/>
      <c r="J9" s="3"/>
      <c r="K9" s="3"/>
      <c r="W9" s="21"/>
      <c r="Z9" s="34" t="s">
        <v>9</v>
      </c>
      <c r="AA9" s="34"/>
      <c r="AB9" s="34"/>
    </row>
    <row r="10" spans="1:44" x14ac:dyDescent="0.35">
      <c r="D10" s="8"/>
      <c r="E10" s="9"/>
      <c r="F10" s="9"/>
      <c r="G10" s="7"/>
      <c r="H10" s="7"/>
      <c r="I10" s="9"/>
      <c r="J10" s="7"/>
      <c r="K10" s="7"/>
      <c r="L10" s="7"/>
      <c r="M10" s="7"/>
      <c r="W10" s="21"/>
    </row>
    <row r="11" spans="1:44" x14ac:dyDescent="0.35">
      <c r="D11" s="4" t="s">
        <v>1</v>
      </c>
      <c r="E11" s="2">
        <v>1</v>
      </c>
      <c r="F11" s="12" t="s">
        <v>10</v>
      </c>
      <c r="G11" s="2">
        <v>2</v>
      </c>
      <c r="H11" s="12" t="s">
        <v>11</v>
      </c>
      <c r="I11" s="2">
        <v>3</v>
      </c>
      <c r="J11" s="12" t="s">
        <v>12</v>
      </c>
      <c r="K11" s="2">
        <v>4</v>
      </c>
      <c r="L11" s="12" t="s">
        <v>13</v>
      </c>
      <c r="M11" s="2">
        <v>5</v>
      </c>
      <c r="N11" s="12" t="s">
        <v>14</v>
      </c>
      <c r="O11" s="2">
        <v>6</v>
      </c>
      <c r="P11" s="12" t="s">
        <v>15</v>
      </c>
      <c r="Q11" s="2">
        <v>7</v>
      </c>
      <c r="R11" s="12" t="s">
        <v>41</v>
      </c>
      <c r="S11" s="2">
        <v>8</v>
      </c>
      <c r="T11" s="12" t="s">
        <v>42</v>
      </c>
      <c r="U11" s="2">
        <v>9</v>
      </c>
      <c r="V11" s="12" t="s">
        <v>43</v>
      </c>
      <c r="W11" s="21"/>
      <c r="Z11" s="8"/>
      <c r="AA11" s="9"/>
      <c r="AB11" s="9"/>
      <c r="AC11" s="7"/>
      <c r="AD11" s="7"/>
      <c r="AE11" s="9"/>
      <c r="AF11" s="7"/>
      <c r="AG11" s="7"/>
      <c r="AH11" s="7"/>
      <c r="AI11" s="7"/>
    </row>
    <row r="12" spans="1:44" x14ac:dyDescent="0.35">
      <c r="C12" t="s">
        <v>4</v>
      </c>
      <c r="D12" s="11" t="s">
        <v>44</v>
      </c>
      <c r="E12" s="2">
        <v>10</v>
      </c>
      <c r="F12" s="27">
        <v>2.19</v>
      </c>
      <c r="G12" s="2">
        <v>50</v>
      </c>
      <c r="H12" s="27">
        <v>6.3</v>
      </c>
      <c r="I12" s="2">
        <v>50</v>
      </c>
      <c r="J12" s="27">
        <v>9.85</v>
      </c>
      <c r="K12" s="2">
        <v>10</v>
      </c>
      <c r="L12" s="27">
        <v>3.42</v>
      </c>
      <c r="M12" s="2">
        <v>50</v>
      </c>
      <c r="N12" s="27">
        <v>7.98</v>
      </c>
      <c r="O12" s="2">
        <v>30</v>
      </c>
      <c r="P12" s="27">
        <v>7.01</v>
      </c>
      <c r="Q12" s="2">
        <v>10</v>
      </c>
      <c r="R12" s="27">
        <v>2.77</v>
      </c>
      <c r="S12" s="2">
        <v>30</v>
      </c>
      <c r="T12" s="27">
        <v>5.54</v>
      </c>
      <c r="U12" s="2">
        <v>30</v>
      </c>
      <c r="V12" s="27">
        <v>8.66</v>
      </c>
      <c r="W12" s="21"/>
      <c r="Z12" s="4" t="s">
        <v>1</v>
      </c>
      <c r="AA12" s="2">
        <v>1</v>
      </c>
      <c r="AB12" s="12" t="s">
        <v>10</v>
      </c>
      <c r="AC12" s="2">
        <v>2</v>
      </c>
      <c r="AD12" s="12" t="s">
        <v>11</v>
      </c>
      <c r="AE12" s="2">
        <v>3</v>
      </c>
      <c r="AF12" s="12" t="s">
        <v>12</v>
      </c>
      <c r="AG12" s="2">
        <v>4</v>
      </c>
      <c r="AH12" s="12" t="s">
        <v>13</v>
      </c>
      <c r="AI12" s="2">
        <v>5</v>
      </c>
      <c r="AJ12" s="12" t="s">
        <v>14</v>
      </c>
      <c r="AK12" s="2">
        <v>6</v>
      </c>
      <c r="AL12" s="12" t="s">
        <v>15</v>
      </c>
      <c r="AM12" s="2">
        <v>7</v>
      </c>
      <c r="AN12" s="12" t="s">
        <v>41</v>
      </c>
      <c r="AO12" s="2">
        <v>8</v>
      </c>
      <c r="AP12" s="12" t="s">
        <v>42</v>
      </c>
      <c r="AQ12" s="2">
        <v>9</v>
      </c>
      <c r="AR12" s="12" t="s">
        <v>43</v>
      </c>
    </row>
    <row r="13" spans="1:44" x14ac:dyDescent="0.35">
      <c r="C13" t="s">
        <v>5</v>
      </c>
      <c r="D13" s="2" t="s">
        <v>26</v>
      </c>
      <c r="E13" s="2">
        <v>8</v>
      </c>
      <c r="F13" s="28"/>
      <c r="G13" s="2">
        <v>8</v>
      </c>
      <c r="H13" s="28"/>
      <c r="I13" s="2">
        <v>10</v>
      </c>
      <c r="J13" s="28"/>
      <c r="K13" s="2">
        <v>10</v>
      </c>
      <c r="L13" s="28"/>
      <c r="M13" s="2">
        <v>9</v>
      </c>
      <c r="N13" s="28"/>
      <c r="O13" s="2">
        <v>9</v>
      </c>
      <c r="P13" s="28"/>
      <c r="Q13" s="2">
        <v>9</v>
      </c>
      <c r="R13" s="28"/>
      <c r="S13" s="2">
        <v>8</v>
      </c>
      <c r="T13" s="28"/>
      <c r="U13" s="2">
        <v>10</v>
      </c>
      <c r="V13" s="28"/>
      <c r="W13" s="21"/>
      <c r="Y13" t="s">
        <v>5</v>
      </c>
      <c r="Z13" s="2" t="s">
        <v>26</v>
      </c>
      <c r="AA13" s="2">
        <v>-1</v>
      </c>
      <c r="AB13" s="27">
        <v>2.19</v>
      </c>
      <c r="AC13" s="2">
        <v>-1</v>
      </c>
      <c r="AD13" s="27">
        <v>6.3</v>
      </c>
      <c r="AE13" s="2">
        <v>1</v>
      </c>
      <c r="AF13" s="27">
        <v>9.85</v>
      </c>
      <c r="AG13" s="2">
        <v>1</v>
      </c>
      <c r="AH13" s="27">
        <v>3.42</v>
      </c>
      <c r="AI13" s="2">
        <v>0</v>
      </c>
      <c r="AJ13" s="27">
        <v>7.98</v>
      </c>
      <c r="AK13" s="2">
        <v>0</v>
      </c>
      <c r="AL13" s="27">
        <v>7.01</v>
      </c>
      <c r="AM13" s="2">
        <v>0</v>
      </c>
      <c r="AN13" s="27">
        <v>2.77</v>
      </c>
      <c r="AO13" s="2">
        <v>-1</v>
      </c>
      <c r="AP13" s="27">
        <v>5.54</v>
      </c>
      <c r="AQ13" s="2">
        <v>-1</v>
      </c>
      <c r="AR13" s="27">
        <v>8.66</v>
      </c>
    </row>
    <row r="14" spans="1:44" x14ac:dyDescent="0.35">
      <c r="D14" s="10"/>
      <c r="F14" s="10"/>
      <c r="G14" s="10"/>
      <c r="H14" s="10"/>
      <c r="J14" s="10"/>
      <c r="L14" s="3"/>
      <c r="W14" s="21"/>
      <c r="Y14" t="s">
        <v>4</v>
      </c>
      <c r="Z14" s="11" t="s">
        <v>44</v>
      </c>
      <c r="AA14" s="2">
        <v>-1</v>
      </c>
      <c r="AB14" s="28"/>
      <c r="AC14" s="2">
        <v>1</v>
      </c>
      <c r="AD14" s="28"/>
      <c r="AE14" s="2">
        <v>1</v>
      </c>
      <c r="AF14" s="28"/>
      <c r="AG14" s="2">
        <v>-1</v>
      </c>
      <c r="AH14" s="28"/>
      <c r="AI14" s="2">
        <v>1</v>
      </c>
      <c r="AJ14" s="28"/>
      <c r="AK14" s="2">
        <v>0</v>
      </c>
      <c r="AL14" s="28"/>
      <c r="AM14" s="2">
        <v>-1</v>
      </c>
      <c r="AN14" s="28"/>
      <c r="AO14" s="2">
        <v>0</v>
      </c>
      <c r="AP14" s="28"/>
      <c r="AQ14" s="2">
        <v>0</v>
      </c>
      <c r="AR14" s="28"/>
    </row>
    <row r="15" spans="1:44" x14ac:dyDescent="0.35">
      <c r="E15" s="3"/>
      <c r="F15" s="3"/>
      <c r="H15" s="3"/>
      <c r="I15" s="3"/>
      <c r="J15" s="3"/>
      <c r="K15" s="3"/>
      <c r="L15" s="3"/>
      <c r="M15" s="3"/>
      <c r="W15" s="21"/>
      <c r="Z15" s="10"/>
      <c r="AA15" s="10"/>
      <c r="AB15" s="10"/>
      <c r="AC15" s="10"/>
      <c r="AD15" s="10"/>
      <c r="AE15" s="10"/>
      <c r="AF15" s="10"/>
      <c r="AG15" s="3"/>
      <c r="AH15" s="3"/>
      <c r="AI15" s="3"/>
    </row>
    <row r="16" spans="1:44" x14ac:dyDescent="0.35">
      <c r="D16" s="3"/>
      <c r="E16" s="3"/>
      <c r="F16" s="3"/>
      <c r="G16" s="3"/>
      <c r="H16" s="3"/>
      <c r="I16" s="3"/>
      <c r="J16" s="3"/>
      <c r="K16" s="3"/>
      <c r="L16" s="3"/>
      <c r="M16" s="3"/>
      <c r="W16" s="21"/>
    </row>
    <row r="17" spans="2:31" x14ac:dyDescent="0.35">
      <c r="D17" s="3"/>
      <c r="E17" s="3"/>
      <c r="F17" s="3"/>
      <c r="G17" s="3"/>
      <c r="H17" s="3"/>
      <c r="I17" s="3"/>
      <c r="J17" s="3"/>
      <c r="K17" s="3"/>
      <c r="L17" s="3"/>
      <c r="M17" s="3"/>
      <c r="W17" s="21"/>
    </row>
    <row r="18" spans="2:31" x14ac:dyDescent="0.35">
      <c r="D18" s="3"/>
      <c r="E18" s="3"/>
      <c r="F18" s="3"/>
      <c r="G18" s="3"/>
      <c r="H18" s="3"/>
      <c r="I18" s="3"/>
      <c r="J18" s="3"/>
      <c r="K18" s="3"/>
      <c r="L18" s="3"/>
      <c r="M18" s="3"/>
      <c r="W18" s="21"/>
    </row>
    <row r="19" spans="2:31" x14ac:dyDescent="0.35">
      <c r="H19" s="3"/>
      <c r="I19" s="3"/>
      <c r="J19" s="3"/>
      <c r="K19" s="3"/>
      <c r="L19" s="3"/>
      <c r="M19" s="3"/>
      <c r="W19" s="21"/>
    </row>
    <row r="20" spans="2:31" x14ac:dyDescent="0.35">
      <c r="B20" t="s">
        <v>27</v>
      </c>
      <c r="C20" s="20" t="s">
        <v>16</v>
      </c>
      <c r="D20" s="20" t="s">
        <v>17</v>
      </c>
      <c r="E20" s="20" t="s">
        <v>18</v>
      </c>
      <c r="F20" s="20" t="s">
        <v>20</v>
      </c>
      <c r="G20" s="20" t="s">
        <v>19</v>
      </c>
      <c r="H20" s="20" t="s">
        <v>21</v>
      </c>
      <c r="I20" s="3"/>
      <c r="J20" s="3"/>
      <c r="M20" s="3"/>
      <c r="W20" s="21"/>
      <c r="X20" t="s">
        <v>27</v>
      </c>
      <c r="Y20" s="20" t="s">
        <v>16</v>
      </c>
      <c r="Z20" s="20" t="s">
        <v>17</v>
      </c>
      <c r="AA20" s="20" t="s">
        <v>18</v>
      </c>
      <c r="AB20" s="20" t="s">
        <v>20</v>
      </c>
      <c r="AC20" s="20" t="s">
        <v>19</v>
      </c>
      <c r="AD20" s="20" t="s">
        <v>21</v>
      </c>
    </row>
    <row r="21" spans="2:31" x14ac:dyDescent="0.35">
      <c r="C21">
        <v>1</v>
      </c>
      <c r="D21" t="s">
        <v>4</v>
      </c>
      <c r="E21" t="s">
        <v>5</v>
      </c>
      <c r="F21" t="s">
        <v>22</v>
      </c>
      <c r="G21" t="s">
        <v>23</v>
      </c>
      <c r="H21" t="s">
        <v>24</v>
      </c>
      <c r="I21" s="15" t="s">
        <v>25</v>
      </c>
      <c r="W21" s="21"/>
      <c r="Y21">
        <v>1</v>
      </c>
      <c r="Z21" t="s">
        <v>4</v>
      </c>
      <c r="AA21" t="s">
        <v>5</v>
      </c>
      <c r="AB21" t="s">
        <v>22</v>
      </c>
      <c r="AC21" t="s">
        <v>23</v>
      </c>
      <c r="AD21" t="s">
        <v>24</v>
      </c>
      <c r="AE21" s="15" t="s">
        <v>25</v>
      </c>
    </row>
    <row r="22" spans="2:31" x14ac:dyDescent="0.35">
      <c r="B22" t="s">
        <v>28</v>
      </c>
      <c r="C22" s="18">
        <v>1</v>
      </c>
      <c r="D22" s="18">
        <v>10</v>
      </c>
      <c r="E22" s="18">
        <v>8</v>
      </c>
      <c r="F22" s="18">
        <f t="shared" ref="F22:F30" si="0">E22*D22</f>
        <v>80</v>
      </c>
      <c r="G22" s="18">
        <f t="shared" ref="G22:H30" si="1">$D22^2</f>
        <v>100</v>
      </c>
      <c r="H22" s="18">
        <f t="shared" ref="G22:K30" si="2">$E22^2</f>
        <v>64</v>
      </c>
      <c r="I22" s="13">
        <f>F12</f>
        <v>2.19</v>
      </c>
      <c r="W22" s="21"/>
      <c r="X22" t="s">
        <v>47</v>
      </c>
      <c r="Y22">
        <v>1</v>
      </c>
      <c r="Z22">
        <v>-1</v>
      </c>
      <c r="AA22">
        <v>-1</v>
      </c>
      <c r="AB22">
        <f t="shared" ref="AB22:AB30" si="3">AA22*Z22</f>
        <v>1</v>
      </c>
      <c r="AC22">
        <f>Z22^2</f>
        <v>1</v>
      </c>
      <c r="AD22">
        <f>AA22^2</f>
        <v>1</v>
      </c>
      <c r="AE22" s="13">
        <f>AB13</f>
        <v>2.19</v>
      </c>
    </row>
    <row r="23" spans="2:31" x14ac:dyDescent="0.35">
      <c r="B23" t="s">
        <v>29</v>
      </c>
      <c r="C23" s="18">
        <v>1</v>
      </c>
      <c r="D23" s="18">
        <v>50</v>
      </c>
      <c r="E23" s="18">
        <v>8</v>
      </c>
      <c r="F23" s="18">
        <f t="shared" si="0"/>
        <v>400</v>
      </c>
      <c r="G23" s="18">
        <f t="shared" si="1"/>
        <v>2500</v>
      </c>
      <c r="H23" s="18">
        <f t="shared" si="2"/>
        <v>64</v>
      </c>
      <c r="I23" s="13">
        <f>H12</f>
        <v>6.3</v>
      </c>
      <c r="W23" s="21"/>
      <c r="X23" t="s">
        <v>29</v>
      </c>
      <c r="Y23">
        <v>1</v>
      </c>
      <c r="Z23">
        <v>1</v>
      </c>
      <c r="AA23">
        <v>-1</v>
      </c>
      <c r="AB23">
        <f t="shared" si="3"/>
        <v>-1</v>
      </c>
      <c r="AC23">
        <f t="shared" ref="AC23:AC30" si="4">Z23^2</f>
        <v>1</v>
      </c>
      <c r="AD23">
        <f t="shared" ref="AD23:AD30" si="5">AA23^2</f>
        <v>1</v>
      </c>
      <c r="AE23" s="13">
        <f>AD13</f>
        <v>6.3</v>
      </c>
    </row>
    <row r="24" spans="2:31" x14ac:dyDescent="0.35">
      <c r="B24" t="s">
        <v>30</v>
      </c>
      <c r="C24" s="18">
        <v>1</v>
      </c>
      <c r="D24" s="18">
        <v>50</v>
      </c>
      <c r="E24" s="18">
        <v>10</v>
      </c>
      <c r="F24" s="18">
        <f t="shared" si="0"/>
        <v>500</v>
      </c>
      <c r="G24" s="18">
        <f t="shared" si="1"/>
        <v>2500</v>
      </c>
      <c r="H24" s="18">
        <f t="shared" si="2"/>
        <v>100</v>
      </c>
      <c r="I24" s="13">
        <f>J12</f>
        <v>9.85</v>
      </c>
      <c r="W24" s="21"/>
      <c r="X24" t="s">
        <v>30</v>
      </c>
      <c r="Y24">
        <v>1</v>
      </c>
      <c r="Z24">
        <v>1</v>
      </c>
      <c r="AA24">
        <v>1</v>
      </c>
      <c r="AB24">
        <f t="shared" si="3"/>
        <v>1</v>
      </c>
      <c r="AC24">
        <f t="shared" si="4"/>
        <v>1</v>
      </c>
      <c r="AD24">
        <f t="shared" si="5"/>
        <v>1</v>
      </c>
      <c r="AE24" s="13">
        <f>AF13</f>
        <v>9.85</v>
      </c>
    </row>
    <row r="25" spans="2:31" x14ac:dyDescent="0.35">
      <c r="B25" t="s">
        <v>31</v>
      </c>
      <c r="C25" s="18">
        <v>1</v>
      </c>
      <c r="D25" s="18">
        <v>10</v>
      </c>
      <c r="E25" s="18">
        <v>10</v>
      </c>
      <c r="F25" s="18">
        <f t="shared" si="0"/>
        <v>100</v>
      </c>
      <c r="G25" s="18">
        <f t="shared" si="1"/>
        <v>100</v>
      </c>
      <c r="H25" s="18">
        <f t="shared" si="2"/>
        <v>100</v>
      </c>
      <c r="I25" s="13">
        <f>L12</f>
        <v>3.42</v>
      </c>
      <c r="W25" s="21"/>
      <c r="X25" t="s">
        <v>31</v>
      </c>
      <c r="Y25">
        <v>1</v>
      </c>
      <c r="Z25">
        <v>-1</v>
      </c>
      <c r="AA25">
        <v>1</v>
      </c>
      <c r="AB25">
        <f t="shared" si="3"/>
        <v>-1</v>
      </c>
      <c r="AC25">
        <f t="shared" si="4"/>
        <v>1</v>
      </c>
      <c r="AD25">
        <f t="shared" si="5"/>
        <v>1</v>
      </c>
      <c r="AE25" s="13">
        <f>AH13</f>
        <v>3.42</v>
      </c>
    </row>
    <row r="26" spans="2:31" x14ac:dyDescent="0.35">
      <c r="B26" t="s">
        <v>32</v>
      </c>
      <c r="C26" s="18">
        <v>1</v>
      </c>
      <c r="D26" s="18">
        <v>50</v>
      </c>
      <c r="E26" s="18">
        <v>9</v>
      </c>
      <c r="F26" s="18">
        <f t="shared" si="0"/>
        <v>450</v>
      </c>
      <c r="G26" s="18">
        <f t="shared" si="1"/>
        <v>2500</v>
      </c>
      <c r="H26" s="18">
        <f t="shared" si="2"/>
        <v>81</v>
      </c>
      <c r="I26" s="13">
        <f>N12</f>
        <v>7.98</v>
      </c>
      <c r="W26" s="21"/>
      <c r="X26" t="s">
        <v>32</v>
      </c>
      <c r="Y26">
        <v>1</v>
      </c>
      <c r="Z26">
        <v>1</v>
      </c>
      <c r="AA26">
        <v>0</v>
      </c>
      <c r="AB26">
        <f t="shared" si="3"/>
        <v>0</v>
      </c>
      <c r="AC26">
        <f t="shared" si="4"/>
        <v>1</v>
      </c>
      <c r="AD26">
        <f t="shared" si="5"/>
        <v>0</v>
      </c>
      <c r="AE26" s="13">
        <f>AJ13</f>
        <v>7.98</v>
      </c>
    </row>
    <row r="27" spans="2:31" x14ac:dyDescent="0.35">
      <c r="B27" t="s">
        <v>33</v>
      </c>
      <c r="C27" s="18">
        <v>1</v>
      </c>
      <c r="D27" s="18">
        <v>30</v>
      </c>
      <c r="E27" s="18">
        <v>9</v>
      </c>
      <c r="F27" s="18">
        <f t="shared" si="0"/>
        <v>270</v>
      </c>
      <c r="G27" s="18">
        <f t="shared" si="1"/>
        <v>900</v>
      </c>
      <c r="H27" s="18">
        <f t="shared" si="2"/>
        <v>81</v>
      </c>
      <c r="I27" s="13">
        <f>P12</f>
        <v>7.01</v>
      </c>
      <c r="W27" s="21"/>
      <c r="X27" t="s">
        <v>33</v>
      </c>
      <c r="Y27">
        <v>1</v>
      </c>
      <c r="Z27">
        <v>0</v>
      </c>
      <c r="AA27">
        <v>0</v>
      </c>
      <c r="AB27">
        <f t="shared" si="3"/>
        <v>0</v>
      </c>
      <c r="AC27">
        <f t="shared" si="4"/>
        <v>0</v>
      </c>
      <c r="AD27">
        <f t="shared" si="5"/>
        <v>0</v>
      </c>
      <c r="AE27" s="13">
        <f>AL13</f>
        <v>7.01</v>
      </c>
    </row>
    <row r="28" spans="2:31" x14ac:dyDescent="0.35">
      <c r="B28" t="s">
        <v>38</v>
      </c>
      <c r="C28" s="18">
        <v>1</v>
      </c>
      <c r="D28" s="18">
        <v>10</v>
      </c>
      <c r="E28" s="18">
        <v>9</v>
      </c>
      <c r="F28" s="22">
        <f t="shared" si="0"/>
        <v>90</v>
      </c>
      <c r="G28" s="22">
        <f t="shared" si="1"/>
        <v>100</v>
      </c>
      <c r="H28" s="22">
        <f t="shared" si="2"/>
        <v>81</v>
      </c>
      <c r="I28" s="13">
        <f>R12</f>
        <v>2.77</v>
      </c>
      <c r="W28" s="21"/>
      <c r="X28" t="s">
        <v>38</v>
      </c>
      <c r="Y28">
        <v>1</v>
      </c>
      <c r="Z28">
        <v>-1</v>
      </c>
      <c r="AA28">
        <v>0</v>
      </c>
      <c r="AB28">
        <f t="shared" si="3"/>
        <v>0</v>
      </c>
      <c r="AC28">
        <f t="shared" si="4"/>
        <v>1</v>
      </c>
      <c r="AD28">
        <f t="shared" si="5"/>
        <v>0</v>
      </c>
      <c r="AE28" s="13">
        <f>AN13</f>
        <v>2.77</v>
      </c>
    </row>
    <row r="29" spans="2:31" x14ac:dyDescent="0.35">
      <c r="B29" t="s">
        <v>39</v>
      </c>
      <c r="C29" s="18">
        <v>1</v>
      </c>
      <c r="D29" s="18">
        <v>30</v>
      </c>
      <c r="E29" s="18">
        <v>8</v>
      </c>
      <c r="F29" s="22">
        <f t="shared" si="0"/>
        <v>240</v>
      </c>
      <c r="G29" s="22">
        <f t="shared" si="1"/>
        <v>900</v>
      </c>
      <c r="H29" s="22">
        <f t="shared" si="2"/>
        <v>64</v>
      </c>
      <c r="I29" s="13">
        <f>T12</f>
        <v>5.54</v>
      </c>
      <c r="W29" s="21"/>
      <c r="X29" t="s">
        <v>39</v>
      </c>
      <c r="Y29">
        <v>1</v>
      </c>
      <c r="Z29">
        <v>0</v>
      </c>
      <c r="AA29">
        <v>-1</v>
      </c>
      <c r="AB29">
        <f t="shared" si="3"/>
        <v>0</v>
      </c>
      <c r="AC29">
        <f t="shared" si="4"/>
        <v>0</v>
      </c>
      <c r="AD29">
        <f t="shared" si="5"/>
        <v>1</v>
      </c>
      <c r="AE29" s="13">
        <f>AP13</f>
        <v>5.54</v>
      </c>
    </row>
    <row r="30" spans="2:31" x14ac:dyDescent="0.35">
      <c r="B30" t="s">
        <v>40</v>
      </c>
      <c r="C30" s="18">
        <v>1</v>
      </c>
      <c r="D30" s="18">
        <v>30</v>
      </c>
      <c r="E30" s="18">
        <v>10</v>
      </c>
      <c r="F30" s="22">
        <f t="shared" si="0"/>
        <v>300</v>
      </c>
      <c r="G30" s="22">
        <f t="shared" si="1"/>
        <v>900</v>
      </c>
      <c r="H30" s="22">
        <f t="shared" si="2"/>
        <v>100</v>
      </c>
      <c r="I30" s="13">
        <f>V12</f>
        <v>8.66</v>
      </c>
      <c r="W30" s="21"/>
      <c r="X30" t="s">
        <v>40</v>
      </c>
      <c r="Y30">
        <v>1</v>
      </c>
      <c r="Z30" s="18">
        <v>0</v>
      </c>
      <c r="AA30" s="18">
        <v>1</v>
      </c>
      <c r="AB30">
        <f t="shared" si="3"/>
        <v>0</v>
      </c>
      <c r="AC30">
        <f t="shared" si="4"/>
        <v>0</v>
      </c>
      <c r="AD30">
        <f t="shared" si="5"/>
        <v>1</v>
      </c>
      <c r="AE30" s="13">
        <f>AR13</f>
        <v>8.66</v>
      </c>
    </row>
    <row r="31" spans="2:31" x14ac:dyDescent="0.35">
      <c r="W31" s="21"/>
      <c r="Y31" s="19"/>
      <c r="Z31" s="19"/>
      <c r="AA31" s="19"/>
      <c r="AB31" s="19"/>
      <c r="AC31" s="19"/>
      <c r="AD31" s="19"/>
      <c r="AE31" s="19"/>
    </row>
    <row r="32" spans="2:31" x14ac:dyDescent="0.35">
      <c r="W32" s="21"/>
      <c r="Y32" s="19"/>
      <c r="Z32" s="19"/>
      <c r="AA32" s="19"/>
      <c r="AB32" s="19"/>
      <c r="AC32" s="19"/>
      <c r="AD32" s="19"/>
      <c r="AE32" s="19"/>
    </row>
    <row r="33" spans="4:41" x14ac:dyDescent="0.35">
      <c r="D33" s="14" t="s">
        <v>34</v>
      </c>
      <c r="E33" cm="1">
        <f t="array" ref="E33:M38">TRANSPOSE(C22:H30)</f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W33" s="21"/>
      <c r="Y33" s="19"/>
      <c r="Z33" s="19"/>
      <c r="AA33" s="19"/>
      <c r="AB33" s="19"/>
      <c r="AC33" s="19"/>
      <c r="AD33" s="19"/>
      <c r="AE33" s="19"/>
    </row>
    <row r="34" spans="4:41" x14ac:dyDescent="0.35">
      <c r="E34">
        <v>10</v>
      </c>
      <c r="F34">
        <v>50</v>
      </c>
      <c r="G34">
        <v>50</v>
      </c>
      <c r="H34">
        <v>10</v>
      </c>
      <c r="I34">
        <v>50</v>
      </c>
      <c r="J34">
        <v>30</v>
      </c>
      <c r="K34">
        <v>10</v>
      </c>
      <c r="L34">
        <v>30</v>
      </c>
      <c r="M34">
        <v>30</v>
      </c>
      <c r="W34" s="21"/>
      <c r="Y34" s="19"/>
      <c r="Z34" s="19"/>
      <c r="AA34" s="19"/>
      <c r="AB34" s="19"/>
      <c r="AC34" s="19"/>
      <c r="AD34" s="19"/>
      <c r="AE34" s="19"/>
    </row>
    <row r="35" spans="4:41" x14ac:dyDescent="0.35">
      <c r="E35">
        <v>8</v>
      </c>
      <c r="F35">
        <v>8</v>
      </c>
      <c r="G35">
        <v>10</v>
      </c>
      <c r="H35">
        <v>10</v>
      </c>
      <c r="I35">
        <v>9</v>
      </c>
      <c r="J35">
        <v>9</v>
      </c>
      <c r="K35">
        <v>9</v>
      </c>
      <c r="L35">
        <v>8</v>
      </c>
      <c r="M35">
        <v>10</v>
      </c>
      <c r="W35" s="21"/>
      <c r="Y35" s="19"/>
      <c r="Z35" s="19"/>
      <c r="AA35" s="19"/>
      <c r="AB35" s="19"/>
      <c r="AC35" s="19"/>
      <c r="AD35" s="19"/>
      <c r="AE35" s="19"/>
    </row>
    <row r="36" spans="4:41" x14ac:dyDescent="0.35">
      <c r="E36">
        <v>80</v>
      </c>
      <c r="F36">
        <v>400</v>
      </c>
      <c r="G36">
        <v>500</v>
      </c>
      <c r="H36">
        <v>100</v>
      </c>
      <c r="I36">
        <v>450</v>
      </c>
      <c r="J36">
        <v>270</v>
      </c>
      <c r="K36">
        <v>90</v>
      </c>
      <c r="L36">
        <v>240</v>
      </c>
      <c r="M36">
        <v>300</v>
      </c>
      <c r="W36" s="21"/>
      <c r="Y36" s="19"/>
      <c r="Z36" s="19"/>
      <c r="AA36" s="19"/>
      <c r="AB36" s="19"/>
      <c r="AC36" s="19"/>
      <c r="AD36" s="19"/>
      <c r="AE36" s="19"/>
    </row>
    <row r="37" spans="4:41" x14ac:dyDescent="0.35">
      <c r="E37">
        <v>100</v>
      </c>
      <c r="F37">
        <v>2500</v>
      </c>
      <c r="G37">
        <v>2500</v>
      </c>
      <c r="H37">
        <v>100</v>
      </c>
      <c r="I37">
        <v>2500</v>
      </c>
      <c r="J37">
        <v>900</v>
      </c>
      <c r="K37">
        <v>100</v>
      </c>
      <c r="L37">
        <v>900</v>
      </c>
      <c r="M37">
        <v>900</v>
      </c>
      <c r="W37" s="21"/>
      <c r="Y37" s="23" t="s">
        <v>34</v>
      </c>
      <c r="Z37" cm="1">
        <f t="array" ref="Z37:AH42">TRANSPOSE(Y22:AD30)</f>
        <v>1</v>
      </c>
      <c r="AA37">
        <v>1</v>
      </c>
      <c r="AB37">
        <v>1</v>
      </c>
      <c r="AC37" s="18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4:41" x14ac:dyDescent="0.35">
      <c r="E38">
        <v>64</v>
      </c>
      <c r="F38">
        <v>64</v>
      </c>
      <c r="G38">
        <v>100</v>
      </c>
      <c r="H38">
        <v>100</v>
      </c>
      <c r="I38">
        <v>81</v>
      </c>
      <c r="J38">
        <v>81</v>
      </c>
      <c r="K38">
        <v>81</v>
      </c>
      <c r="L38">
        <v>64</v>
      </c>
      <c r="M38">
        <v>100</v>
      </c>
      <c r="W38" s="21"/>
      <c r="Z38">
        <v>-1</v>
      </c>
      <c r="AA38">
        <v>1</v>
      </c>
      <c r="AB38">
        <v>1</v>
      </c>
      <c r="AC38">
        <v>-1</v>
      </c>
      <c r="AD38">
        <v>1</v>
      </c>
      <c r="AE38">
        <v>0</v>
      </c>
      <c r="AF38">
        <v>-1</v>
      </c>
      <c r="AG38">
        <v>0</v>
      </c>
      <c r="AH38">
        <v>0</v>
      </c>
    </row>
    <row r="39" spans="4:41" x14ac:dyDescent="0.35">
      <c r="W39" s="21"/>
      <c r="Z39">
        <v>-1</v>
      </c>
      <c r="AA39">
        <v>-1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-1</v>
      </c>
      <c r="AH39">
        <v>1</v>
      </c>
    </row>
    <row r="40" spans="4:41" x14ac:dyDescent="0.35">
      <c r="W40" s="21"/>
      <c r="Z40">
        <v>1</v>
      </c>
      <c r="AA40">
        <v>-1</v>
      </c>
      <c r="AB40">
        <v>1</v>
      </c>
      <c r="AC40">
        <v>-1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4:41" x14ac:dyDescent="0.35">
      <c r="D41" s="16" t="s">
        <v>35</v>
      </c>
      <c r="E41" cm="1">
        <f t="array" ref="E41:E46">MMULT(E33:M38,I22:I30)</f>
        <v>53.72</v>
      </c>
      <c r="H41" s="17" t="s">
        <v>36</v>
      </c>
      <c r="I41" cm="1">
        <f t="array" ref="I41:N46">MINVERSE(MMULT(E33:M38,C22:H30))</f>
        <v>3287.5243055399715</v>
      </c>
      <c r="J41">
        <v>-1.6499999999766028</v>
      </c>
      <c r="K41">
        <v>-729.56249999659371</v>
      </c>
      <c r="L41">
        <v>0.16874999999736642</v>
      </c>
      <c r="M41">
        <v>1.9791666666774585E-3</v>
      </c>
      <c r="N41">
        <v>40.166666666482172</v>
      </c>
      <c r="W41" s="21"/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</row>
    <row r="42" spans="4:41" x14ac:dyDescent="0.35">
      <c r="E42">
        <v>1926.6</v>
      </c>
      <c r="I42">
        <v>-1.6499999999999231</v>
      </c>
      <c r="J42">
        <v>6.2291666666661784E-2</v>
      </c>
      <c r="K42">
        <v>0.16874999999999968</v>
      </c>
      <c r="L42">
        <v>-5.6249999999994135E-3</v>
      </c>
      <c r="M42">
        <v>-1.8750000000000816E-4</v>
      </c>
      <c r="N42">
        <v>-9.5016046146477306E-16</v>
      </c>
      <c r="W42" s="21"/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1</v>
      </c>
    </row>
    <row r="43" spans="4:41" x14ac:dyDescent="0.35">
      <c r="E43">
        <v>491.38</v>
      </c>
      <c r="I43">
        <v>-729.56249999650811</v>
      </c>
      <c r="J43">
        <v>0.16874999999477519</v>
      </c>
      <c r="K43">
        <v>162.72916666590345</v>
      </c>
      <c r="L43">
        <v>-1.874999999941206E-2</v>
      </c>
      <c r="M43">
        <v>-2.3822698166037376E-15</v>
      </c>
      <c r="N43">
        <v>-8.9999999999586588</v>
      </c>
      <c r="W43" s="21"/>
    </row>
    <row r="44" spans="4:41" x14ac:dyDescent="0.35">
      <c r="E44">
        <v>17622.800000000003</v>
      </c>
      <c r="I44">
        <v>0.16874999999998966</v>
      </c>
      <c r="J44">
        <v>-5.6249999999994603E-3</v>
      </c>
      <c r="K44">
        <v>-1.8749999999999538E-2</v>
      </c>
      <c r="L44">
        <v>6.2499999999993637E-4</v>
      </c>
      <c r="M44">
        <v>7.2822959209507551E-19</v>
      </c>
      <c r="N44">
        <v>8.08052455357152E-17</v>
      </c>
      <c r="W44" s="21"/>
    </row>
    <row r="45" spans="4:41" x14ac:dyDescent="0.35">
      <c r="E45">
        <v>80252</v>
      </c>
      <c r="I45">
        <v>1.9791666666669023E-3</v>
      </c>
      <c r="J45">
        <v>-1.8749999999999954E-4</v>
      </c>
      <c r="K45">
        <v>-5.5634957222080653E-17</v>
      </c>
      <c r="L45">
        <v>-2.1286502653152067E-19</v>
      </c>
      <c r="M45">
        <v>3.1250000000000247E-6</v>
      </c>
      <c r="N45">
        <v>3.4464132792439344E-18</v>
      </c>
      <c r="W45" s="21"/>
    </row>
    <row r="46" spans="4:41" x14ac:dyDescent="0.35">
      <c r="E46">
        <v>4529.4799999999996</v>
      </c>
      <c r="I46">
        <v>40.166666666472686</v>
      </c>
      <c r="J46">
        <v>2.8930330353420689E-13</v>
      </c>
      <c r="K46">
        <v>-8.9999999999576001</v>
      </c>
      <c r="L46">
        <v>-3.2547460097281671E-14</v>
      </c>
      <c r="M46">
        <v>1.3064636178387234E-16</v>
      </c>
      <c r="N46">
        <v>0.49999999999770312</v>
      </c>
      <c r="W46" s="21"/>
      <c r="AI46" s="25" t="s">
        <v>36</v>
      </c>
      <c r="AJ46" cm="1">
        <f t="array" ref="AJ46:AO51">MINVERSE(MMULT(Z37:AH42, Y22:AD30))</f>
        <v>0.55555555555555558</v>
      </c>
      <c r="AK46">
        <v>0</v>
      </c>
      <c r="AL46">
        <v>0</v>
      </c>
      <c r="AM46">
        <v>0</v>
      </c>
      <c r="AN46">
        <v>-0.33333333333333331</v>
      </c>
      <c r="AO46">
        <v>-0.33333333333333331</v>
      </c>
    </row>
    <row r="47" spans="4:41" x14ac:dyDescent="0.35">
      <c r="W47" s="21"/>
      <c r="Y47" s="24" t="s">
        <v>35</v>
      </c>
      <c r="Z47" cm="1">
        <f t="array" ref="Z47:Z52">MMULT(Z37:AH42,AE22:AE30)</f>
        <v>53.72</v>
      </c>
      <c r="AJ47">
        <v>0</v>
      </c>
      <c r="AK47">
        <v>0.16666666666666666</v>
      </c>
      <c r="AL47">
        <v>0</v>
      </c>
      <c r="AM47">
        <v>0</v>
      </c>
      <c r="AN47">
        <v>0</v>
      </c>
      <c r="AO47">
        <v>0</v>
      </c>
    </row>
    <row r="48" spans="4:41" x14ac:dyDescent="0.35">
      <c r="W48" s="21"/>
      <c r="Z48">
        <v>15.75</v>
      </c>
      <c r="AJ48">
        <v>0</v>
      </c>
      <c r="AK48">
        <v>0</v>
      </c>
      <c r="AL48">
        <v>0.16666666666666666</v>
      </c>
      <c r="AM48">
        <v>0</v>
      </c>
      <c r="AN48">
        <v>0</v>
      </c>
      <c r="AO48">
        <v>0</v>
      </c>
    </row>
    <row r="49" spans="6:41" x14ac:dyDescent="0.35">
      <c r="W49" s="21"/>
      <c r="Z49">
        <v>7.8999999999999995</v>
      </c>
      <c r="AJ49">
        <v>0</v>
      </c>
      <c r="AK49">
        <v>0</v>
      </c>
      <c r="AL49">
        <v>0</v>
      </c>
      <c r="AM49">
        <v>0.25</v>
      </c>
      <c r="AN49">
        <v>0</v>
      </c>
      <c r="AO49">
        <v>0</v>
      </c>
    </row>
    <row r="50" spans="6:41" x14ac:dyDescent="0.35">
      <c r="W50" s="21"/>
      <c r="Z50">
        <v>2.3200000000000003</v>
      </c>
      <c r="AJ50">
        <v>-0.33333333333333331</v>
      </c>
      <c r="AK50">
        <v>0</v>
      </c>
      <c r="AL50">
        <v>0</v>
      </c>
      <c r="AM50">
        <v>0</v>
      </c>
      <c r="AN50">
        <v>0.5</v>
      </c>
      <c r="AO50">
        <v>0</v>
      </c>
    </row>
    <row r="51" spans="6:41" x14ac:dyDescent="0.35">
      <c r="F51" s="30" t="s">
        <v>37</v>
      </c>
      <c r="G51" s="30"/>
      <c r="H51" cm="1">
        <f t="array" ref="H51:H56">MMULT(I41:N46,E41:E46)</f>
        <v>1.2873611115501262</v>
      </c>
      <c r="I51" s="20" t="s">
        <v>16</v>
      </c>
      <c r="W51" s="21"/>
      <c r="Z51">
        <v>32.51</v>
      </c>
      <c r="AJ51">
        <v>-0.33333333333333331</v>
      </c>
      <c r="AK51">
        <v>0</v>
      </c>
      <c r="AL51">
        <v>0</v>
      </c>
      <c r="AM51">
        <v>0</v>
      </c>
      <c r="AN51">
        <v>0</v>
      </c>
      <c r="AO51">
        <v>0.5</v>
      </c>
    </row>
    <row r="52" spans="6:41" x14ac:dyDescent="0.35">
      <c r="H52">
        <v>0.11799999999991544</v>
      </c>
      <c r="I52" s="20" t="s">
        <v>17</v>
      </c>
      <c r="W52" s="21"/>
      <c r="Z52">
        <v>35.959999999999994</v>
      </c>
    </row>
    <row r="53" spans="6:41" x14ac:dyDescent="0.35">
      <c r="H53">
        <v>-0.87333333340939134</v>
      </c>
      <c r="I53" s="20" t="s">
        <v>18</v>
      </c>
      <c r="W53" s="21"/>
    </row>
    <row r="54" spans="6:41" x14ac:dyDescent="0.35">
      <c r="H54">
        <v>2.9000000000015801E-2</v>
      </c>
      <c r="I54" s="20" t="s">
        <v>20</v>
      </c>
      <c r="W54" s="21"/>
    </row>
    <row r="55" spans="6:41" x14ac:dyDescent="0.35">
      <c r="H55">
        <v>-4.1291666666666161E-3</v>
      </c>
      <c r="I55" s="20" t="s">
        <v>19</v>
      </c>
      <c r="W55" s="21"/>
    </row>
    <row r="56" spans="6:41" x14ac:dyDescent="0.35">
      <c r="H56">
        <v>7.3333333337814111E-2</v>
      </c>
      <c r="I56" s="20" t="s">
        <v>21</v>
      </c>
      <c r="W56" s="21"/>
    </row>
    <row r="57" spans="6:41" x14ac:dyDescent="0.35">
      <c r="W57" s="21"/>
      <c r="Z57" s="30" t="s">
        <v>37</v>
      </c>
      <c r="AA57" s="30"/>
      <c r="AB57" cm="1">
        <f t="array" ref="AB57:AB62">MMULT(AJ46:AO51,Z47:Z52)</f>
        <v>7.0211111111111144</v>
      </c>
      <c r="AC57" s="20" t="s">
        <v>16</v>
      </c>
    </row>
    <row r="58" spans="6:41" x14ac:dyDescent="0.35">
      <c r="W58" s="21"/>
      <c r="AB58">
        <v>2.625</v>
      </c>
      <c r="AC58" s="20" t="s">
        <v>17</v>
      </c>
    </row>
    <row r="59" spans="6:41" x14ac:dyDescent="0.35">
      <c r="W59" s="21"/>
      <c r="AB59">
        <v>1.3166666666666664</v>
      </c>
      <c r="AC59" s="20" t="s">
        <v>18</v>
      </c>
    </row>
    <row r="60" spans="6:41" x14ac:dyDescent="0.35">
      <c r="W60" s="21"/>
      <c r="AB60">
        <v>0.58000000000000007</v>
      </c>
      <c r="AC60" s="20" t="s">
        <v>20</v>
      </c>
    </row>
    <row r="61" spans="6:41" x14ac:dyDescent="0.35">
      <c r="W61" s="21"/>
      <c r="AB61">
        <v>-1.6516666666666673</v>
      </c>
      <c r="AC61" s="20" t="s">
        <v>19</v>
      </c>
    </row>
    <row r="62" spans="6:41" x14ac:dyDescent="0.35">
      <c r="W62" s="21"/>
      <c r="AB62">
        <v>7.3333333333330586E-2</v>
      </c>
      <c r="AC62" s="20" t="s">
        <v>21</v>
      </c>
    </row>
    <row r="63" spans="6:41" x14ac:dyDescent="0.35">
      <c r="W63" s="21"/>
    </row>
    <row r="64" spans="6:41" x14ac:dyDescent="0.35">
      <c r="W64" s="21"/>
    </row>
    <row r="65" spans="23:23" x14ac:dyDescent="0.35">
      <c r="W65" s="21"/>
    </row>
  </sheetData>
  <mergeCells count="24">
    <mergeCell ref="AN13:AN14"/>
    <mergeCell ref="AP13:AP14"/>
    <mergeCell ref="AR13:AR14"/>
    <mergeCell ref="Z57:AA57"/>
    <mergeCell ref="D8:F8"/>
    <mergeCell ref="AD13:AD14"/>
    <mergeCell ref="AF13:AF14"/>
    <mergeCell ref="AH13:AH14"/>
    <mergeCell ref="AJ13:AJ14"/>
    <mergeCell ref="AL13:AL14"/>
    <mergeCell ref="Z9:AB9"/>
    <mergeCell ref="R12:R13"/>
    <mergeCell ref="T12:T13"/>
    <mergeCell ref="V12:V13"/>
    <mergeCell ref="AB13:AB14"/>
    <mergeCell ref="F51:G51"/>
    <mergeCell ref="A1:E3"/>
    <mergeCell ref="P12:P13"/>
    <mergeCell ref="F12:F13"/>
    <mergeCell ref="H12:H13"/>
    <mergeCell ref="J12:J13"/>
    <mergeCell ref="L12:L13"/>
    <mergeCell ref="N12:N13"/>
    <mergeCell ref="H1:I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Mariama MEITE</dc:creator>
  <cp:lastModifiedBy>Mariama MEITE</cp:lastModifiedBy>
  <dcterms:created xsi:type="dcterms:W3CDTF">2026-05-12T09:41:08Z</dcterms:created>
  <dcterms:modified xsi:type="dcterms:W3CDTF">2026-05-22T13:10:52Z</dcterms:modified>
</cp:coreProperties>
</file>